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\Downloads\"/>
    </mc:Choice>
  </mc:AlternateContent>
  <xr:revisionPtr revIDLastSave="0" documentId="13_ncr:1_{5E4DF7D6-9304-4C8B-86FC-6E5798CBA53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rike" sheetId="6" r:id="rId1"/>
    <sheet name="Workflows" sheetId="7" state="hidden" r:id="rId2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C2" i="6"/>
  <c r="I3" i="6"/>
  <c r="I7" i="6"/>
  <c r="I6" i="6"/>
  <c r="I5" i="6"/>
  <c r="I4" i="6"/>
  <c r="C7" i="6"/>
  <c r="C6" i="6"/>
  <c r="C5" i="6"/>
  <c r="C4" i="6"/>
  <c r="C3" i="6"/>
  <c r="A3" i="6"/>
  <c r="A4" i="6" s="1"/>
  <c r="A5" i="6" s="1"/>
  <c r="A6" i="6" s="1"/>
  <c r="A7" i="6" s="1"/>
</calcChain>
</file>

<file path=xl/sharedStrings.xml><?xml version="1.0" encoding="utf-8"?>
<sst xmlns="http://schemas.openxmlformats.org/spreadsheetml/2006/main" count="113" uniqueCount="74">
  <si>
    <t>Key</t>
  </si>
  <si>
    <t>Folder</t>
  </si>
  <si>
    <t>Title</t>
  </si>
  <si>
    <t>Workflow</t>
  </si>
  <si>
    <t>Status</t>
  </si>
  <si>
    <t>Custom status</t>
  </si>
  <si>
    <t>Priority</t>
  </si>
  <si>
    <t>End Date</t>
  </si>
  <si>
    <t>Description</t>
  </si>
  <si>
    <t>PLM - Item #</t>
  </si>
  <si>
    <t>PLM Item Name</t>
  </si>
  <si>
    <t>Print Method</t>
  </si>
  <si>
    <t>Previous Item No</t>
  </si>
  <si>
    <t>PLM - Contents</t>
  </si>
  <si>
    <t>PLM - Material Codes</t>
  </si>
  <si>
    <t>Brand Category</t>
  </si>
  <si>
    <t>Customer</t>
  </si>
  <si>
    <t>Product Category</t>
  </si>
  <si>
    <t>Brand</t>
  </si>
  <si>
    <t>Season</t>
  </si>
  <si>
    <t>PLM - Design Request</t>
  </si>
  <si>
    <t>Design Brief / Additional Notes</t>
  </si>
  <si>
    <t>Image Link</t>
  </si>
  <si>
    <t>Active</t>
  </si>
  <si>
    <t>Normal</t>
  </si>
  <si>
    <t>WP-71511-006-319</t>
  </si>
  <si>
    <t>WINNIE-THE-POOH PANCAKE PAN</t>
  </si>
  <si>
    <t>MATTE</t>
  </si>
  <si>
    <t>WP-68151</t>
  </si>
  <si>
    <t>- WINNIE THE POOH PAN- PANCAKE MIX, 2.1 OZ</t>
  </si>
  <si>
    <t>WINNIE-THE-POOH PANCAKE PAN (007251MET)</t>
  </si>
  <si>
    <t>THOUGHTFULLY GOURMET</t>
  </si>
  <si>
    <t>*CORE</t>
  </si>
  <si>
    <t>BAKING</t>
  </si>
  <si>
    <t>WINNIE-THE-POOH</t>
  </si>
  <si>
    <t>2026 FALL/HOLIDAY</t>
  </si>
  <si>
    <t>REF WP-68151
ARTWORK REFRESH</t>
  </si>
  <si>
    <t>WP-71512-006-319</t>
  </si>
  <si>
    <t>WINNIE-THE-POOH DOUBLE WALL MUG TEA SET</t>
  </si>
  <si>
    <t>WP-70108</t>
  </si>
  <si>
    <t>- DOUBLE WALL GLASS MUG, 12.6 OZ- EARL GREY BLACK TEA - 4 - 1 GRAM TEA BAGS IN A FOIL POUCH</t>
  </si>
  <si>
    <t>GLASS MUG
length 15cm ,width 9cm,height11cm</t>
  </si>
  <si>
    <t>HOT DRINKS</t>
  </si>
  <si>
    <t>REF WP-70108
ARTWORK REFRESH</t>
  </si>
  <si>
    <t>WP-71513-006-319</t>
  </si>
  <si>
    <t>WINNIE-THE-POOH HOT COCOA AND MUG SET MIXED CASE</t>
  </si>
  <si>
    <t>WP-68168</t>
  </si>
  <si>
    <t>A - CERAMIC MUG  11 OZ DOUBLE CHOCOLATE COCOA MIX, 1 OZB - CERAMIC MUG  11 OZ   - DOUBLE CHOCOLATE COCOA MIX, 1 OZ</t>
  </si>
  <si>
    <t>CERAMIC MUG - 11 OZ - IOWA 	002728CER</t>
  </si>
  <si>
    <t>REF WP-68168
UPDATE MUGS
ARTWORK REFRESH</t>
  </si>
  <si>
    <t>WP-71514-006-319</t>
  </si>
  <si>
    <t>WINNIE-THE-POOH TEA CANISTER 80 CT</t>
  </si>
  <si>
    <t>WP-68170</t>
  </si>
  <si>
    <t>"  METAL TEA TIN
(2) EARL GREY BLACK TEA  10  1 GRAM TEA BAGS IN A FOIL POUCH (TAGLESS)
(2) ENGLISH BREAKFAST BLACK TEA  10  1 GRAM TEA BAGS IN A FOIL POUCH (TAGLESS)
FRENCH VANILLA BLACK TEA  10  1 GRAM TEA BAGS IN A FOIL POUCH (TAGLESS)
HONEY HIBISCUS BLACK TEA  10  1 GRAM TEA BAGS IN A FOIL POUCH (TAGLESS)
ORANGE BLACK TEA  10  1 GRAM TEA BAGS IN A FOIL POUCH (TAGLESS)
BERRY HIBISCUS BLACK TEA  10  1 GRAM TEA BAGS IN A FOIL POUCH (TAGLESS)"</t>
  </si>
  <si>
    <t>"MEDIUM TEA TIN (007520MET)
(2) EARL GREY BLACK TEA  10  1 GRAM TEA BAGS IN A FOIL POUCH (TAGLESS)
(2) ENGLISH BREAKFAST BLACK TEA  10  1 GRAM TEA BAGS IN A FOIL POUCH (TAGLESS)
FRENCH VANILLA BLACK TEA  10  1 GRAM TEA BAGS IN A FOIL POUCH (TAGLESS)
HONEY HIBISCUS BLACK TEA  10  1 GRAM TEA BAGS IN A FOIL POUCH (TAGLESS)
ORANGE BLACK TEA  10  1 GRAM TEA BAGS IN A FOIL POUCH (TAGLESS) (003962FOO)
BERRY HIBISCUS BLACK TEA  10  1 GRAM TEA BAGS IN A FOIL POUCH (TAGLESS) (007292FOO)"</t>
  </si>
  <si>
    <t>REF WP-68170
ARTWORK REFRESH</t>
  </si>
  <si>
    <t>WP-71515-006-319</t>
  </si>
  <si>
    <t>WINNIE-THE-POOH HONEY FLAVORED PANCAKE SYRUPS 4PK</t>
  </si>
  <si>
    <t>WP-70915</t>
  </si>
  <si>
    <t>- MINI WOOD DIPPER4 - 1.5 OZ GLASS JARS WITH;- HONEY BUTTER FLAVORED PANCAKE SYRUP- HONEY CINNAMON FLAVORED PANCAKE SYRUP- HONEY VANILLA FLAVORED PANCAKE SYRUP- HONEY MAPLE FLAVORED PANCAKE SYRUP</t>
  </si>
  <si>
    <t>GLASS HEXAGON HONEY JAR 007477GLA
MINI WOOD DIPPER 007469WOO
PANCAKE SYRUP, HONEY BUTTER, # 9-15- 007685FOO
PANCAKE SYRUP, HONEY CINNAMON, # 9-16- 007686FOO
PANCAKE SYRUP, HONEY VANILLA, # 9-14- 007684FOO
PANCAKE SYRUP, HONEY MAPLE, # 9-17- 007687FOO</t>
  </si>
  <si>
    <t>REF WP-70915
ARTWORK REFRESH</t>
  </si>
  <si>
    <t>WP-71516-006-319</t>
  </si>
  <si>
    <t>WINNIE-THE-POOH MUG AND TEA FLIGHT SET</t>
  </si>
  <si>
    <t>WP-70663</t>
  </si>
  <si>
    <t>- DOUBLE WALL GLASS MUG, 12.6 OZ- EARL GREY BLACK TEA - 4 - 1 GRAM TEA BAGS IN A FOIL POUCH - ENGLISH BREAKFAST BLACK TEA - 4 - 1 GRAM TEA BAGS IN A FOIL POUCH - FRENCH VANILLA  BLACK TEA - 4 - 1 GRAM TEA BAGS IN A FOIL POUCH - APPLE CINNAMON BLACK TEA - 4 - 1 GRAM TEA BAGS IN A FOIL POUCH</t>
  </si>
  <si>
    <t>DOUBLE WALL GLASS MUGS NEW</t>
  </si>
  <si>
    <t>REF WP-70663
ARTWORK REFRESH</t>
  </si>
  <si>
    <t>MGF - Agi</t>
  </si>
  <si>
    <t>MGF - Clarissa</t>
  </si>
  <si>
    <t>MGF - Karina</t>
  </si>
  <si>
    <t>MGF - Michelle</t>
  </si>
  <si>
    <t>MGF - Sara</t>
  </si>
  <si>
    <t>MGF - Shelby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</si>
</sst>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wrapText="1"/>
    </xf>
    <xf numFmtId="0" fontId="4" fillId="0" borderId="0" xfId="0" quotePrefix="1" applyFont="1" applyAlignment="1">
      <alignment horizontal="left" vertical="top"/>
    </xf>
    <xf numFmtId="0" fontId="4" fillId="0" borderId="0" xfId="0" quotePrefix="1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</cellXfs>
  <cellStyles count="3">
    <cellStyle name="Normal" xfId="0" builtinId="0"/>
    <cellStyle name="Normal 2" xfId="1" xr:uid="{8E3CA327-1604-4374-A398-3502C644CCAC}"/>
    <cellStyle name="Normal 3" xfId="2" xr:uid="{5048822D-681C-4E9F-BEAC-85C015C367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W7"/>
  <sheetViews>
    <sheetView tabSelected="1" topLeftCell="F1" zoomScale="85" zoomScaleNormal="85" workbookViewId="0">
      <pane ySplit="1" topLeftCell="A2" activePane="bottomLeft" state="frozen"/>
      <selection pane="bottomLeft" activeCell="U29" sqref="U29"/>
    </sheetView>
  </sheetViews>
  <sheetFormatPr defaultRowHeight="12.5" x14ac:dyDescent="0.25"/>
  <cols>
    <col min="1" max="1" width="7" customWidth="1"/>
    <col min="2" max="2" width="13.54296875" customWidth="1"/>
    <col min="3" max="3" width="64.453125" customWidth="1"/>
    <col min="4" max="6" width="12" customWidth="1"/>
    <col min="7" max="7" width="10" customWidth="1"/>
    <col min="8" max="8" width="10" style="1" customWidth="1"/>
    <col min="9" max="9" width="35.1796875" style="6" customWidth="1"/>
    <col min="10" max="10" width="30.54296875" customWidth="1"/>
    <col min="13" max="13" width="13.453125" customWidth="1"/>
    <col min="15" max="15" width="22.54296875" customWidth="1"/>
    <col min="16" max="16" width="25.81640625" customWidth="1"/>
    <col min="17" max="20" width="10" customWidth="1"/>
    <col min="21" max="21" width="31" customWidth="1"/>
    <col min="22" max="22" width="18.54296875" customWidth="1"/>
    <col min="23" max="23" width="16.54296875" customWidth="1"/>
  </cols>
  <sheetData>
    <row r="1" spans="1:23" s="3" customFormat="1" ht="39" x14ac:dyDescent="0.25">
      <c r="A1" s="2" t="s">
        <v>0</v>
      </c>
      <c r="B1" s="10" t="s">
        <v>1</v>
      </c>
      <c r="C1" s="2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2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1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ht="51.65" customHeight="1" x14ac:dyDescent="0.25">
      <c r="A2">
        <v>1</v>
      </c>
      <c r="C2" t="str">
        <f>LEFT(J2,8)&amp;" "&amp;K2</f>
        <v>WP-71511 WINNIE-THE-POOH PANCAKE PAN</v>
      </c>
      <c r="D2" s="4"/>
      <c r="E2" t="s">
        <v>23</v>
      </c>
      <c r="F2" s="4"/>
      <c r="G2" t="s">
        <v>24</v>
      </c>
      <c r="H2" s="5"/>
      <c r="I2" t="str">
        <f>"&lt;h5&gt;Design Brief:     &lt;/h5&gt;"&amp;U2&amp;V2&amp;"&lt;br&gt;"&amp;W2&amp;"&lt;br&gt;&lt;h5&gt;Material Codes:     &lt;/h5&gt;"&amp;O2&amp;"&lt;br&gt;&lt;h5&gt;Contents:     &lt;/h5&gt;"&amp;N2</f>
        <v>&lt;h5&gt;Design Brief:     &lt;/h5&gt;REF WP-68151
ARTWORK REFRESH&lt;br&gt;&lt;br&gt;&lt;h5&gt;Material Codes:     &lt;/h5&gt;WINNIE-THE-POOH PANCAKE PAN (007251MET)&lt;br&gt;&lt;h5&gt;Contents:     &lt;/h5&gt;- WINNIE THE POOH PAN- PANCAKE MIX, 2.1 OZ</v>
      </c>
      <c r="J2" s="7" t="s">
        <v>25</v>
      </c>
      <c r="K2" s="7" t="s">
        <v>26</v>
      </c>
      <c r="L2" s="7" t="s">
        <v>27</v>
      </c>
      <c r="M2" s="7" t="s">
        <v>28</v>
      </c>
      <c r="N2" s="8" t="s">
        <v>29</v>
      </c>
      <c r="O2" s="8" t="s">
        <v>30</v>
      </c>
      <c r="P2" s="7" t="s">
        <v>31</v>
      </c>
      <c r="Q2" s="7" t="s">
        <v>32</v>
      </c>
      <c r="R2" s="7" t="s">
        <v>33</v>
      </c>
      <c r="S2" s="7" t="s">
        <v>34</v>
      </c>
      <c r="T2" s="7" t="s">
        <v>35</v>
      </c>
      <c r="U2" s="8" t="s">
        <v>36</v>
      </c>
      <c r="V2" s="4"/>
      <c r="W2" s="4"/>
    </row>
    <row r="3" spans="1:23" ht="20.149999999999999" customHeight="1" x14ac:dyDescent="0.25">
      <c r="A3">
        <f>A2+1</f>
        <v>2</v>
      </c>
      <c r="C3" t="str">
        <f t="shared" ref="C3:C7" si="0">LEFT(J3,8)&amp;" "&amp;K3</f>
        <v>WP-71512 WINNIE-THE-POOH DOUBLE WALL MUG TEA SET</v>
      </c>
      <c r="D3" s="4"/>
      <c r="E3" t="s">
        <v>23</v>
      </c>
      <c r="F3" s="4"/>
      <c r="G3" t="s">
        <v>24</v>
      </c>
      <c r="H3" s="5"/>
      <c r="I3" t="str">
        <f>"&lt;h5&gt;Design Brief:     &lt;/h5&gt;"&amp;U3&amp;V3&amp;"&lt;br&gt;"&amp;W3&amp;"&lt;br&gt;&lt;h5&gt;Material Codes:     &lt;/h5&gt;"&amp;O3&amp;"&lt;br&gt;&lt;h5&gt;Contents:     &lt;/h5&gt;"&amp;N3</f>
        <v>&lt;h5&gt;Design Brief:     &lt;/h5&gt;REF WP-70108
ARTWORK REFRESH&lt;br&gt;&lt;br&gt;&lt;h5&gt;Material Codes:     &lt;/h5&gt;GLASS MUG
length 15cm ,width 9cm,height11cm&lt;br&gt;&lt;h5&gt;Contents:     &lt;/h5&gt;- DOUBLE WALL GLASS MUG, 12.6 OZ- EARL GREY BLACK TEA - 4 - 1 GRAM TEA BAGS IN A FOIL POUCH</v>
      </c>
      <c r="J3" s="7" t="s">
        <v>37</v>
      </c>
      <c r="K3" s="7" t="s">
        <v>38</v>
      </c>
      <c r="L3" s="7" t="s">
        <v>27</v>
      </c>
      <c r="M3" s="7" t="s">
        <v>39</v>
      </c>
      <c r="N3" s="8" t="s">
        <v>40</v>
      </c>
      <c r="O3" s="8" t="s">
        <v>41</v>
      </c>
      <c r="P3" s="7" t="s">
        <v>31</v>
      </c>
      <c r="Q3" s="7" t="s">
        <v>32</v>
      </c>
      <c r="R3" s="7" t="s">
        <v>42</v>
      </c>
      <c r="S3" s="7" t="s">
        <v>34</v>
      </c>
      <c r="T3" s="7" t="s">
        <v>35</v>
      </c>
      <c r="U3" s="8" t="s">
        <v>43</v>
      </c>
      <c r="V3" s="4"/>
      <c r="W3" s="4"/>
    </row>
    <row r="4" spans="1:23" ht="20.149999999999999" customHeight="1" x14ac:dyDescent="0.25">
      <c r="A4">
        <f t="shared" ref="A4:A7" si="1">A3+1</f>
        <v>3</v>
      </c>
      <c r="C4" t="str">
        <f t="shared" si="0"/>
        <v>WP-71513 WINNIE-THE-POOH HOT COCOA AND MUG SET MIXED CASE</v>
      </c>
      <c r="D4" s="4"/>
      <c r="E4" t="s">
        <v>23</v>
      </c>
      <c r="F4" s="4"/>
      <c r="G4" t="s">
        <v>24</v>
      </c>
      <c r="H4" s="5"/>
      <c r="I4" t="str">
        <f t="shared" ref="I4:I7" si="2">"&lt;h5&gt;Design Brief:     &lt;/h5&gt;"&amp;U4&amp;V4&amp;"&lt;br&gt;"&amp;W4&amp;"&lt;br&gt;&lt;h5&gt;Material Codes:     &lt;/h5&gt;"&amp;O4&amp;"&lt;br&gt;&lt;h5&gt;Contents:     &lt;/h5&gt;"&amp;N4</f>
        <v>&lt;h5&gt;Design Brief:     &lt;/h5&gt;REF WP-68168
UPDATE MUGS
ARTWORK REFRESH&lt;br&gt;&lt;br&gt;&lt;h5&gt;Material Codes:     &lt;/h5&gt;CERAMIC MUG - 11 OZ - IOWA 	002728CER&lt;br&gt;&lt;h5&gt;Contents:     &lt;/h5&gt;A - CERAMIC MUG  11 OZ DOUBLE CHOCOLATE COCOA MIX, 1 OZB - CERAMIC MUG  11 OZ   - DOUBLE CHOCOLATE COCOA MIX, 1 OZ</v>
      </c>
      <c r="J4" s="7" t="s">
        <v>44</v>
      </c>
      <c r="K4" s="7" t="s">
        <v>45</v>
      </c>
      <c r="L4" s="7" t="s">
        <v>27</v>
      </c>
      <c r="M4" s="7" t="s">
        <v>46</v>
      </c>
      <c r="N4" s="8" t="s">
        <v>47</v>
      </c>
      <c r="O4" s="8" t="s">
        <v>48</v>
      </c>
      <c r="P4" s="7" t="s">
        <v>31</v>
      </c>
      <c r="Q4" s="7" t="s">
        <v>32</v>
      </c>
      <c r="R4" s="7" t="s">
        <v>42</v>
      </c>
      <c r="S4" s="7" t="s">
        <v>34</v>
      </c>
      <c r="T4" s="7" t="s">
        <v>35</v>
      </c>
      <c r="U4" s="8" t="s">
        <v>49</v>
      </c>
      <c r="V4" s="4"/>
      <c r="W4" s="4"/>
    </row>
    <row r="5" spans="1:23" ht="20.149999999999999" customHeight="1" x14ac:dyDescent="0.25">
      <c r="A5">
        <f t="shared" si="1"/>
        <v>4</v>
      </c>
      <c r="C5" t="str">
        <f t="shared" si="0"/>
        <v>WP-71514 WINNIE-THE-POOH TEA CANISTER 80 CT</v>
      </c>
      <c r="D5" s="4"/>
      <c r="E5" t="s">
        <v>23</v>
      </c>
      <c r="F5" s="4"/>
      <c r="G5" t="s">
        <v>24</v>
      </c>
      <c r="H5" s="5"/>
      <c r="I5" t="str">
        <f t="shared" si="2"/>
        <v>&lt;h5&gt;Design Brief:     &lt;/h5&gt;REF WP-68170
ARTWORK REFRESH&lt;br&gt;&lt;br&gt;&lt;h5&gt;Material Codes:     &lt;/h5&gt;"MEDIUM TEA TIN (007520MET)
(2) EARL GREY BLACK TEA  10  1 GRAM TEA BAGS IN A FOIL POUCH (TAGLESS)
(2) ENGLISH BREAKFAST BLACK TEA  10  1 GRAM TEA BAGS IN A FOIL POUCH (TAGLESS)
FRENCH VANILLA BLACK TEA  10  1 GRAM TEA BAGS IN A FOIL POUCH (TAGLESS)
HONEY HIBISCUS BLACK TEA  10  1 GRAM TEA BAGS IN A FOIL POUCH (TAGLESS)
ORANGE BLACK TEA  10  1 GRAM TEA BAGS IN A FOIL POUCH (TAGLESS) (003962FOO)
BERRY HIBISCUS BLACK TEA  10  1 GRAM TEA BAGS IN A FOIL POUCH (TAGLESS) (007292FOO)"&lt;br&gt;&lt;h5&gt;Contents:     &lt;/h5&gt;"  METAL TEA TIN
(2) EARL GREY BLACK TEA  10  1 GRAM TEA BAGS IN A FOIL POUCH (TAGLESS)
(2) ENGLISH BREAKFAST BLACK TEA  10  1 GRAM TEA BAGS IN A FOIL POUCH (TAGLESS)
FRENCH VANILLA BLACK TEA  10  1 GRAM TEA BAGS IN A FOIL POUCH (TAGLESS)
HONEY HIBISCUS BLACK TEA  10  1 GRAM TEA BAGS IN A FOIL POUCH (TAGLESS)
ORANGE BLACK TEA  10  1 GRAM TEA BAGS IN A FOIL POUCH (TAGLESS)
BERRY HIBISCUS BLACK TEA  10  1 GRAM TEA BAGS IN A FOIL POUCH (TAGLESS)"</v>
      </c>
      <c r="J5" s="7" t="s">
        <v>50</v>
      </c>
      <c r="K5" s="7" t="s">
        <v>51</v>
      </c>
      <c r="L5" s="7" t="s">
        <v>27</v>
      </c>
      <c r="M5" s="7" t="s">
        <v>52</v>
      </c>
      <c r="N5" s="8" t="s">
        <v>53</v>
      </c>
      <c r="O5" s="8" t="s">
        <v>54</v>
      </c>
      <c r="P5" s="7" t="s">
        <v>31</v>
      </c>
      <c r="Q5" s="7" t="s">
        <v>32</v>
      </c>
      <c r="R5" s="7" t="s">
        <v>42</v>
      </c>
      <c r="S5" s="7" t="s">
        <v>34</v>
      </c>
      <c r="T5" s="7" t="s">
        <v>35</v>
      </c>
      <c r="U5" s="8" t="s">
        <v>55</v>
      </c>
      <c r="V5" s="4"/>
      <c r="W5" s="4"/>
    </row>
    <row r="6" spans="1:23" ht="20.149999999999999" customHeight="1" x14ac:dyDescent="0.25">
      <c r="A6">
        <f t="shared" si="1"/>
        <v>5</v>
      </c>
      <c r="C6" t="str">
        <f t="shared" si="0"/>
        <v>WP-71515 WINNIE-THE-POOH HONEY FLAVORED PANCAKE SYRUPS 4PK</v>
      </c>
      <c r="D6" s="4"/>
      <c r="E6" t="s">
        <v>23</v>
      </c>
      <c r="F6" s="4"/>
      <c r="G6" t="s">
        <v>24</v>
      </c>
      <c r="H6" s="5"/>
      <c r="I6" t="str">
        <f t="shared" si="2"/>
        <v>&lt;h5&gt;Design Brief:     &lt;/h5&gt;REF WP-70915
ARTWORK REFRESH&lt;br&gt;&lt;br&gt;&lt;h5&gt;Material Codes:     &lt;/h5&gt;GLASS HEXAGON HONEY JAR 007477GLA
MINI WOOD DIPPER 007469WOO
PANCAKE SYRUP, HONEY BUTTER, # 9-15- 007685FOO
PANCAKE SYRUP, HONEY CINNAMON, # 9-16- 007686FOO
PANCAKE SYRUP, HONEY VANILLA, # 9-14- 007684FOO
PANCAKE SYRUP, HONEY MAPLE, # 9-17- 007687FOO&lt;br&gt;&lt;h5&gt;Contents:     &lt;/h5&gt;- MINI WOOD DIPPER4 - 1.5 OZ GLASS JARS WITH;- HONEY BUTTER FLAVORED PANCAKE SYRUP- HONEY CINNAMON FLAVORED PANCAKE SYRUP- HONEY VANILLA FLAVORED PANCAKE SYRUP- HONEY MAPLE FLAVORED PANCAKE SYRUP</v>
      </c>
      <c r="J6" s="7" t="s">
        <v>56</v>
      </c>
      <c r="K6" s="7" t="s">
        <v>57</v>
      </c>
      <c r="L6" s="7" t="s">
        <v>27</v>
      </c>
      <c r="M6" s="7" t="s">
        <v>58</v>
      </c>
      <c r="N6" s="8" t="s">
        <v>59</v>
      </c>
      <c r="O6" s="8" t="s">
        <v>60</v>
      </c>
      <c r="P6" s="7" t="s">
        <v>31</v>
      </c>
      <c r="Q6" s="7" t="s">
        <v>32</v>
      </c>
      <c r="R6" s="7" t="s">
        <v>33</v>
      </c>
      <c r="S6" s="7" t="s">
        <v>34</v>
      </c>
      <c r="T6" s="7" t="s">
        <v>35</v>
      </c>
      <c r="U6" s="8" t="s">
        <v>61</v>
      </c>
      <c r="V6" s="4"/>
      <c r="W6" s="4"/>
    </row>
    <row r="7" spans="1:23" ht="20.149999999999999" customHeight="1" x14ac:dyDescent="0.25">
      <c r="A7">
        <f t="shared" si="1"/>
        <v>6</v>
      </c>
      <c r="C7" t="str">
        <f t="shared" si="0"/>
        <v>WP-71516 WINNIE-THE-POOH MUG AND TEA FLIGHT SET</v>
      </c>
      <c r="D7" s="4"/>
      <c r="E7" t="s">
        <v>23</v>
      </c>
      <c r="F7" s="4"/>
      <c r="G7" t="s">
        <v>24</v>
      </c>
      <c r="H7" s="5"/>
      <c r="I7" t="str">
        <f t="shared" si="2"/>
        <v>&lt;h5&gt;Design Brief:     &lt;/h5&gt;REF WP-70663
ARTWORK REFRESH&lt;br&gt;&lt;br&gt;&lt;h5&gt;Material Codes:     &lt;/h5&gt;DOUBLE WALL GLASS MUGS NEW&lt;br&gt;&lt;h5&gt;Contents:     &lt;/h5&gt;- DOUBLE WALL GLASS MUG, 12.6 OZ- EARL GREY BLACK TEA - 4 - 1 GRAM TEA BAGS IN A FOIL POUCH - ENGLISH BREAKFAST BLACK TEA - 4 - 1 GRAM TEA BAGS IN A FOIL POUCH - FRENCH VANILLA  BLACK TEA - 4 - 1 GRAM TEA BAGS IN A FOIL POUCH - APPLE CINNAMON BLACK TEA - 4 - 1 GRAM TEA BAGS IN A FOIL POUCH</v>
      </c>
      <c r="J7" s="7" t="s">
        <v>62</v>
      </c>
      <c r="K7" s="7" t="s">
        <v>63</v>
      </c>
      <c r="L7" s="7" t="s">
        <v>27</v>
      </c>
      <c r="M7" s="7" t="s">
        <v>64</v>
      </c>
      <c r="N7" s="8" t="s">
        <v>65</v>
      </c>
      <c r="O7" s="8" t="s">
        <v>66</v>
      </c>
      <c r="P7" s="7" t="s">
        <v>31</v>
      </c>
      <c r="Q7" s="7" t="s">
        <v>32</v>
      </c>
      <c r="R7" s="7" t="s">
        <v>42</v>
      </c>
      <c r="S7" s="7" t="s">
        <v>34</v>
      </c>
      <c r="T7" s="7" t="s">
        <v>35</v>
      </c>
      <c r="U7" s="8" t="s">
        <v>67</v>
      </c>
      <c r="V7" s="4"/>
      <c r="W7" s="4"/>
    </row>
  </sheetData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Workflows!$A$1:$A$6</xm:f>
          </x14:formula1>
          <xm:sqref>D2:D7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F19" sqref="F19"/>
    </sheetView>
  </sheetViews>
  <sheetFormatPr defaultRowHeight="12.5" x14ac:dyDescent="0.25"/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  <row r="4" spans="1:1" x14ac:dyDescent="0.25">
      <c r="A4" t="s">
        <v>71</v>
      </c>
    </row>
    <row r="5" spans="1:1" x14ac:dyDescent="0.25">
      <c r="A5" t="s">
        <v>72</v>
      </c>
    </row>
    <row r="6" spans="1:1" x14ac:dyDescent="0.25">
      <c r="A6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44BA618A5FBB4ABB2653C92FC0C125" ma:contentTypeVersion="7" ma:contentTypeDescription="Create a new document." ma:contentTypeScope="" ma:versionID="3e0b52b4e6f651612028efe21dd03bcf">
  <xsd:schema xmlns:xsd="http://www.w3.org/2001/XMLSchema" xmlns:xs="http://www.w3.org/2001/XMLSchema" xmlns:p="http://schemas.microsoft.com/office/2006/metadata/properties" xmlns:ns2="a3b25937-8490-4466-ae81-63852e57580e" targetNamespace="http://schemas.microsoft.com/office/2006/metadata/properties" ma:root="true" ma:fieldsID="f97dc704e2b63841948af7d884e2045f" ns2:_="">
    <xsd:import namespace="a3b25937-8490-4466-ae81-63852e575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25937-8490-4466-ae81-63852e5758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2B4203-AF66-408B-85F1-DCDA7D6C71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2D4002-EAD4-48BC-A474-FA488599B89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AA690E-28FF-4CD7-9BCC-5B971F8C90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25937-8490-4466-ae81-63852e575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Wrike</vt:lpstr>
      <vt:lpstr>Workflows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Watts</dc:creator>
  <cp:keywords/>
  <dc:description/>
  <cp:lastModifiedBy>Praveen kumar Arja</cp:lastModifiedBy>
  <cp:revision/>
  <dcterms:created xsi:type="dcterms:W3CDTF">2023-09-20T19:29:31Z</dcterms:created>
  <dcterms:modified xsi:type="dcterms:W3CDTF">2026-06-01T21:22:19Z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adf7a2-81a7-497f-a10b-5f8bc04d14db_Enabled">
    <vt:lpwstr>true</vt:lpwstr>
  </property>
  <property fmtid="{D5CDD505-2E9C-101B-9397-08002B2CF9AE}" pid="3" name="MSIP_Label_44adf7a2-81a7-497f-a10b-5f8bc04d14db_SetDate">
    <vt:lpwstr>2026-05-20T16:36:37Z</vt:lpwstr>
  </property>
  <property fmtid="{D5CDD505-2E9C-101B-9397-08002B2CF9AE}" pid="4" name="MSIP_Label_44adf7a2-81a7-497f-a10b-5f8bc04d14db_Method">
    <vt:lpwstr>Standard</vt:lpwstr>
  </property>
  <property fmtid="{D5CDD505-2E9C-101B-9397-08002B2CF9AE}" pid="5" name="MSIP_Label_44adf7a2-81a7-497f-a10b-5f8bc04d14db_Name">
    <vt:lpwstr>General Business Use</vt:lpwstr>
  </property>
  <property fmtid="{D5CDD505-2E9C-101B-9397-08002B2CF9AE}" pid="6" name="MSIP_Label_44adf7a2-81a7-497f-a10b-5f8bc04d14db_SiteId">
    <vt:lpwstr>dd5b5d42-c0d3-4ad2-b5f1-60edb3af2771</vt:lpwstr>
  </property>
  <property fmtid="{D5CDD505-2E9C-101B-9397-08002B2CF9AE}" pid="7" name="MSIP_Label_44adf7a2-81a7-497f-a10b-5f8bc04d14db_ActionId">
    <vt:lpwstr>0ba27c7c-f29f-4e5e-bb99-ca45c9a98af5</vt:lpwstr>
  </property>
  <property fmtid="{D5CDD505-2E9C-101B-9397-08002B2CF9AE}" pid="8" name="MSIP_Label_44adf7a2-81a7-497f-a10b-5f8bc04d14db_ContentBits">
    <vt:lpwstr>0</vt:lpwstr>
  </property>
  <property fmtid="{D5CDD505-2E9C-101B-9397-08002B2CF9AE}" pid="9" name="MSIP_Label_44adf7a2-81a7-497f-a10b-5f8bc04d14db_Tag">
    <vt:lpwstr>10, 3, 0, 1</vt:lpwstr>
  </property>
  <property fmtid="{D5CDD505-2E9C-101B-9397-08002B2CF9AE}" pid="10" name="ContentTypeId">
    <vt:lpwstr>0x0101008144BA618A5FBB4ABB2653C92FC0C125</vt:lpwstr>
  </property>
</Properties>
</file>